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calculator" sheetId="2" r:id="rId6"/>
  </sheets>
  <definedNames/>
  <calcPr/>
</workbook>
</file>

<file path=xl/sharedStrings.xml><?xml version="1.0" encoding="utf-8"?>
<sst xmlns="http://schemas.openxmlformats.org/spreadsheetml/2006/main" count="49" uniqueCount="28">
  <si>
    <t>Suspension calculator</t>
  </si>
  <si>
    <t>do not touch!!</t>
  </si>
  <si>
    <t>fill in data below</t>
  </si>
  <si>
    <t>last payment date</t>
  </si>
  <si>
    <t>number of included payments:</t>
  </si>
  <si>
    <t>=&gt; if 0 then refund Z days</t>
  </si>
  <si>
    <t>which is:</t>
  </si>
  <si>
    <t xml:space="preserve">therefore, change the next payment to: </t>
  </si>
  <si>
    <t>payment period</t>
  </si>
  <si>
    <t>weekly</t>
  </si>
  <si>
    <t>=&gt; if &gt; 0 then # overpaid days:</t>
  </si>
  <si>
    <t>(already paid)</t>
  </si>
  <si>
    <t>the amount</t>
  </si>
  <si>
    <t># of gap days:</t>
  </si>
  <si>
    <t>(needs to pay before the next scheduled payment)</t>
  </si>
  <si>
    <t>suspension</t>
  </si>
  <si>
    <t>from</t>
  </si>
  <si>
    <r>
      <rPr>
        <rFont val="Arial"/>
        <color theme="1"/>
        <sz val="12.0"/>
      </rPr>
      <t xml:space="preserve">if </t>
    </r>
    <r>
      <rPr>
        <rFont val="Arial"/>
        <b/>
        <color theme="1"/>
        <sz val="12.0"/>
      </rPr>
      <t>overpaid = gap</t>
    </r>
    <r>
      <rPr>
        <rFont val="Arial"/>
        <color theme="1"/>
        <sz val="12.0"/>
      </rPr>
      <t>: do nothing, just delete the payments withint the suspension</t>
    </r>
  </si>
  <si>
    <t>till</t>
  </si>
  <si>
    <r>
      <rPr>
        <rFont val="Arial"/>
        <color theme="1"/>
        <sz val="12.0"/>
      </rPr>
      <t xml:space="preserve">if </t>
    </r>
    <r>
      <rPr>
        <rFont val="Arial"/>
        <b/>
        <color theme="1"/>
        <sz val="12.0"/>
      </rPr>
      <t>overpaid &gt; gap</t>
    </r>
    <r>
      <rPr>
        <rFont val="Arial"/>
        <color theme="1"/>
        <sz val="12.0"/>
      </rPr>
      <t>; member has a credit; deduct (overpaid-gap) days from the next payment</t>
    </r>
  </si>
  <si>
    <t>credit:</t>
  </si>
  <si>
    <r>
      <rPr>
        <rFont val="Arial"/>
        <color theme="1"/>
        <sz val="12.0"/>
      </rPr>
      <t xml:space="preserve">if </t>
    </r>
    <r>
      <rPr>
        <rFont val="Arial"/>
        <b/>
        <color theme="1"/>
        <sz val="12.0"/>
      </rPr>
      <t>overpaid &lt; gap</t>
    </r>
    <r>
      <rPr>
        <rFont val="Arial"/>
        <color theme="1"/>
        <sz val="12.0"/>
      </rPr>
      <t>; delete all payments within the suspensiion and add adjustmenst for (gap-overpaid) days</t>
    </r>
  </si>
  <si>
    <t>adjustment is:</t>
  </si>
  <si>
    <t>number of payments before the suspension:</t>
  </si>
  <si>
    <t>monthly</t>
  </si>
  <si>
    <r>
      <rPr>
        <rFont val="Arial"/>
        <color theme="1"/>
        <sz val="12.0"/>
      </rPr>
      <t xml:space="preserve">if </t>
    </r>
    <r>
      <rPr>
        <rFont val="Arial"/>
        <b/>
        <color theme="1"/>
        <sz val="12.0"/>
      </rPr>
      <t>overpaid = gap</t>
    </r>
    <r>
      <rPr>
        <rFont val="Arial"/>
        <color theme="1"/>
        <sz val="12.0"/>
      </rPr>
      <t>: do nothing, just delete the payments withint the suspension</t>
    </r>
  </si>
  <si>
    <r>
      <rPr>
        <rFont val="Arial"/>
        <color theme="1"/>
        <sz val="12.0"/>
      </rPr>
      <t xml:space="preserve">if </t>
    </r>
    <r>
      <rPr>
        <rFont val="Arial"/>
        <b/>
        <color theme="1"/>
        <sz val="12.0"/>
      </rPr>
      <t>overpaid &gt; gap</t>
    </r>
    <r>
      <rPr>
        <rFont val="Arial"/>
        <color theme="1"/>
        <sz val="12.0"/>
      </rPr>
      <t>; member has a credit; deduct (overpaid-gap) days from the next payment</t>
    </r>
  </si>
  <si>
    <r>
      <rPr>
        <rFont val="Arial"/>
        <color theme="1"/>
        <sz val="12.0"/>
      </rPr>
      <t xml:space="preserve">if </t>
    </r>
    <r>
      <rPr>
        <rFont val="Arial"/>
        <b/>
        <color theme="1"/>
        <sz val="12.0"/>
      </rPr>
      <t>overpaid &lt; gap</t>
    </r>
    <r>
      <rPr>
        <rFont val="Arial"/>
        <color theme="1"/>
        <sz val="12.0"/>
      </rPr>
      <t>; delete all payments within the suspensiion and add adjustmenst for (gap-overpaid) days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</si>
</sst>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4.0"/>
      <color rgb="FF0B5394"/>
      <name val="Arial"/>
      <scheme val="minor"/>
    </font>
    <font>
      <b/>
      <sz val="12.0"/>
      <color theme="1"/>
      <name val="Arial"/>
      <scheme val="minor"/>
    </font>
    <font>
      <sz val="12.0"/>
      <color rgb="FFFFFFFF"/>
      <name val="Arial"/>
      <scheme val="minor"/>
    </font>
    <font>
      <b/>
      <sz val="12.0"/>
      <color rgb="FF000000"/>
      <name val="Arial"/>
      <scheme val="minor"/>
    </font>
    <font/>
    <font>
      <b/>
      <sz val="12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12">
    <border/>
    <border>
      <left style="thick">
        <color rgb="FF3D85C6"/>
      </left>
      <top style="thick">
        <color rgb="FF3D85C6"/>
      </top>
    </border>
    <border>
      <top style="thick">
        <color rgb="FF3D85C6"/>
      </top>
    </border>
    <border>
      <right style="thick">
        <color rgb="FF3D85C6"/>
      </right>
      <top style="thick">
        <color rgb="FF3D85C6"/>
      </top>
    </border>
    <border>
      <left style="thick">
        <color rgb="FF3D85C6"/>
      </left>
    </border>
    <border>
      <right style="thick">
        <color rgb="FF3D85C6"/>
      </right>
    </border>
    <border>
      <bottom style="thin">
        <color rgb="FFFFFFFF"/>
      </bottom>
    </border>
    <border>
      <top style="thick">
        <color rgb="FF0B5394"/>
      </top>
    </border>
    <border>
      <bottom style="thick">
        <color rgb="FF0B5394"/>
      </bottom>
    </border>
    <border>
      <left style="thick">
        <color rgb="FF3D85C6"/>
      </left>
      <bottom style="thick">
        <color rgb="FF3D85C6"/>
      </bottom>
    </border>
    <border>
      <bottom style="thick">
        <color rgb="FF3D85C6"/>
      </bottom>
    </border>
    <border>
      <right style="thick">
        <color rgb="FF3D85C6"/>
      </right>
      <bottom style="thick">
        <color rgb="FF3D85C6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right"/>
    </xf>
    <xf borderId="1" fillId="3" fontId="1" numFmtId="0" xfId="0" applyBorder="1" applyFill="1" applyFont="1"/>
    <xf borderId="2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0" fillId="2" fontId="1" numFmtId="0" xfId="0" applyAlignment="1" applyFont="1">
      <alignment horizontal="right" readingOrder="0"/>
    </xf>
    <xf borderId="4" fillId="3" fontId="1" numFmtId="0" xfId="0" applyBorder="1" applyFont="1"/>
    <xf borderId="0" fillId="3" fontId="2" numFmtId="0" xfId="0" applyAlignment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0" fillId="2" fontId="3" numFmtId="0" xfId="0" applyAlignment="1" applyFont="1">
      <alignment horizontal="right" readingOrder="0"/>
    </xf>
    <xf borderId="0" fillId="3" fontId="1" numFmtId="0" xfId="0" applyFont="1"/>
    <xf borderId="5" fillId="3" fontId="1" numFmtId="0" xfId="0" applyBorder="1" applyFont="1"/>
    <xf borderId="0" fillId="4" fontId="3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0" fillId="2" fontId="1" numFmtId="0" xfId="0" applyAlignment="1" applyFont="1">
      <alignment readingOrder="0" shrinkToFit="0" wrapText="0"/>
    </xf>
    <xf borderId="0" fillId="2" fontId="3" numFmtId="0" xfId="0" applyFont="1"/>
    <xf borderId="6" fillId="4" fontId="4" numFmtId="0" xfId="0" applyAlignment="1" applyBorder="1" applyFont="1">
      <alignment horizontal="center" readingOrder="0"/>
    </xf>
    <xf borderId="0" fillId="4" fontId="4" numFmtId="164" xfId="0" applyAlignment="1" applyFont="1" applyNumberFormat="1">
      <alignment readingOrder="0"/>
    </xf>
    <xf quotePrefix="1" borderId="0" fillId="2" fontId="1" numFmtId="0" xfId="0" applyAlignment="1" applyFont="1">
      <alignment horizontal="right" readingOrder="0"/>
    </xf>
    <xf borderId="0" fillId="2" fontId="1" numFmtId="165" xfId="0" applyFont="1" applyNumberFormat="1"/>
    <xf borderId="0" fillId="2" fontId="3" numFmtId="165" xfId="0" applyFont="1" applyNumberFormat="1"/>
    <xf borderId="0" fillId="4" fontId="4" numFmtId="0" xfId="0" applyAlignment="1" applyFont="1">
      <alignment horizontal="right" readingOrder="0"/>
    </xf>
    <xf borderId="0" fillId="2" fontId="1" numFmtId="0" xfId="0" applyAlignment="1" applyFont="1">
      <alignment readingOrder="0"/>
    </xf>
    <xf borderId="0" fillId="4" fontId="4" numFmtId="165" xfId="0" applyAlignment="1" applyFont="1" applyNumberFormat="1">
      <alignment readingOrder="0"/>
    </xf>
    <xf borderId="0" fillId="4" fontId="1" numFmtId="0" xfId="0" applyAlignment="1" applyFont="1">
      <alignment horizontal="left"/>
    </xf>
    <xf borderId="0" fillId="3" fontId="3" numFmtId="0" xfId="0" applyAlignment="1" applyFont="1">
      <alignment horizontal="center" vertical="center"/>
    </xf>
    <xf borderId="7" fillId="5" fontId="5" numFmtId="0" xfId="0" applyAlignment="1" applyBorder="1" applyFill="1" applyFont="1">
      <alignment horizontal="center" shrinkToFit="0" vertical="center" wrapText="1"/>
    </xf>
    <xf borderId="7" fillId="0" fontId="6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9" fillId="3" fontId="1" numFmtId="0" xfId="0" applyBorder="1" applyFont="1"/>
    <xf borderId="10" fillId="3" fontId="1" numFmtId="0" xfId="0" applyBorder="1" applyFont="1"/>
    <xf borderId="11" fillId="3" fontId="1" numFmtId="0" xfId="0" applyBorder="1" applyFont="1"/>
    <xf borderId="6" fillId="4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.5"/>
    <col customWidth="1" min="3" max="3" width="3.75"/>
    <col customWidth="1" min="4" max="4" width="11.38"/>
    <col customWidth="1" min="5" max="5" width="7.13"/>
    <col customWidth="1" min="6" max="6" width="16.13"/>
    <col customWidth="1" min="7" max="7" width="5.13"/>
    <col customWidth="1" min="8" max="8" width="3.5"/>
    <col customWidth="1" min="9" max="9" width="5.25"/>
    <col customWidth="1" min="10" max="10" width="38.88"/>
    <col customWidth="1" min="11" max="11" width="6.13"/>
    <col customWidth="1" min="12" max="12" width="24.88"/>
    <col customWidth="1" min="13" max="13" width="5.63"/>
    <col customWidth="1" min="14" max="14" width="8.38"/>
    <col customWidth="1" min="15" max="15" width="8.25"/>
    <col customWidth="1" min="16" max="16" width="8.63"/>
    <col customWidth="1" min="17" max="17" width="31.88"/>
    <col customWidth="1" min="18" max="18" width="11.25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3"/>
      <c r="C2" s="4"/>
      <c r="D2" s="4"/>
      <c r="E2" s="4"/>
      <c r="F2" s="4"/>
      <c r="G2" s="4"/>
      <c r="H2" s="5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7"/>
      <c r="C3" s="8" t="s">
        <v>0</v>
      </c>
      <c r="H3" s="9"/>
      <c r="I3" s="10"/>
      <c r="J3" s="10" t="s">
        <v>1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7"/>
      <c r="C4" s="11"/>
      <c r="D4" s="11"/>
      <c r="E4" s="11"/>
      <c r="F4" s="11"/>
      <c r="G4" s="11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7"/>
      <c r="C5" s="13"/>
      <c r="D5" s="13"/>
      <c r="E5" s="14"/>
      <c r="F5" s="15"/>
      <c r="G5" s="16"/>
      <c r="H5" s="12"/>
      <c r="I5" s="6"/>
      <c r="J5" s="6"/>
      <c r="K5" s="1"/>
      <c r="L5" s="6"/>
      <c r="M5" s="1"/>
      <c r="N5" s="6"/>
      <c r="O5" s="1"/>
      <c r="P5" s="17"/>
      <c r="Q5" s="1"/>
      <c r="R5" s="18"/>
      <c r="S5" s="1"/>
      <c r="T5" s="1"/>
    </row>
    <row r="6">
      <c r="A6" s="1"/>
      <c r="B6" s="7"/>
      <c r="C6" s="13"/>
      <c r="D6" s="13"/>
      <c r="E6" s="14"/>
      <c r="F6" s="19" t="s">
        <v>2</v>
      </c>
      <c r="G6" s="16"/>
      <c r="H6" s="12"/>
      <c r="I6" s="6"/>
      <c r="J6" s="6"/>
      <c r="K6" s="1"/>
      <c r="L6" s="6"/>
      <c r="M6" s="1"/>
      <c r="N6" s="6"/>
      <c r="O6" s="1"/>
      <c r="P6" s="17"/>
      <c r="Q6" s="1"/>
      <c r="R6" s="18"/>
      <c r="S6" s="1"/>
      <c r="T6" s="1"/>
    </row>
    <row r="7">
      <c r="A7" s="1"/>
      <c r="B7" s="7"/>
      <c r="C7" s="14"/>
      <c r="D7" s="14" t="s">
        <v>3</v>
      </c>
      <c r="F7" s="20">
        <v>44537.0</v>
      </c>
      <c r="G7" s="16"/>
      <c r="H7" s="12"/>
      <c r="I7" s="6"/>
      <c r="J7" s="6" t="s">
        <v>4</v>
      </c>
      <c r="K7" s="1">
        <f>int(ifs(F8="weekly",DATEDIF(F7,F11,"d")/7,F8="forthnightly",datedif(F7,F11,"d")/14,F8="monthly",datedif(F7,F11,"m")))</f>
        <v>4</v>
      </c>
      <c r="L7" s="21" t="s">
        <v>5</v>
      </c>
      <c r="M7" s="1">
        <f>datedif(F10,F11,"d")</f>
        <v>16</v>
      </c>
      <c r="N7" s="6" t="s">
        <v>6</v>
      </c>
      <c r="O7" s="22">
        <f>F9 * M7/ifs(F8="weekly",7,F8="forthnightly",14,F8="monthly",datedif(F7,date(year(F7),month(F7)+1,day(F7)),"d"))</f>
        <v>68.45714286</v>
      </c>
      <c r="P7" s="17" t="s">
        <v>7</v>
      </c>
      <c r="Q7" s="1"/>
      <c r="R7" s="23">
        <f>F9-O7</f>
        <v>-38.50714286</v>
      </c>
      <c r="S7" s="1"/>
      <c r="T7" s="1"/>
    </row>
    <row r="8">
      <c r="A8" s="1"/>
      <c r="B8" s="7"/>
      <c r="C8" s="14"/>
      <c r="D8" s="14" t="s">
        <v>8</v>
      </c>
      <c r="F8" s="24" t="s">
        <v>9</v>
      </c>
      <c r="G8" s="16"/>
      <c r="H8" s="12"/>
      <c r="I8" s="1"/>
      <c r="J8" s="1"/>
      <c r="K8" s="1"/>
      <c r="L8" s="21" t="s">
        <v>10</v>
      </c>
      <c r="M8" s="1" t="str">
        <f>datedif(F10,ifs(F8="weekly",F7+7,F8="forthnightly",F7+14,F8="monthly",date(year(F7),month(F7)+1,day(F7))),"d")</f>
        <v>#NUM!</v>
      </c>
      <c r="N8" s="25" t="s">
        <v>11</v>
      </c>
      <c r="O8" s="1"/>
      <c r="P8" s="1"/>
      <c r="Q8" s="1"/>
      <c r="R8" s="1"/>
      <c r="S8" s="1"/>
      <c r="T8" s="1"/>
    </row>
    <row r="9">
      <c r="A9" s="1"/>
      <c r="B9" s="7"/>
      <c r="C9" s="14"/>
      <c r="D9" s="14" t="s">
        <v>12</v>
      </c>
      <c r="F9" s="26">
        <v>29.95</v>
      </c>
      <c r="G9" s="16"/>
      <c r="H9" s="12"/>
      <c r="I9" s="1"/>
      <c r="J9" s="1"/>
      <c r="K9" s="1"/>
      <c r="L9" s="6" t="s">
        <v>13</v>
      </c>
      <c r="M9" s="1">
        <f>datedif(F11,ifs(F8="weekly",F7+(K7+1)*7,F8="forthnightly",F7+(K7+1)*14,F8="monthly",date(year(F7),month(F7)+1*(K7+1),day(F7))),"d")</f>
        <v>1</v>
      </c>
      <c r="N9" s="25" t="s">
        <v>14</v>
      </c>
      <c r="O9" s="1"/>
      <c r="P9" s="1"/>
      <c r="Q9" s="1"/>
      <c r="R9" s="1"/>
      <c r="S9" s="1"/>
      <c r="T9" s="1"/>
    </row>
    <row r="10">
      <c r="A10" s="1"/>
      <c r="B10" s="7"/>
      <c r="C10" s="14"/>
      <c r="D10" s="14" t="s">
        <v>15</v>
      </c>
      <c r="E10" s="14" t="s">
        <v>16</v>
      </c>
      <c r="F10" s="20">
        <v>44555.0</v>
      </c>
      <c r="G10" s="16"/>
      <c r="H10" s="12"/>
      <c r="I10" s="1"/>
      <c r="J10" s="1"/>
      <c r="K10" s="1"/>
      <c r="L10" s="2"/>
      <c r="M10" s="1"/>
      <c r="N10" s="25" t="s">
        <v>17</v>
      </c>
      <c r="O10" s="1"/>
      <c r="P10" s="1"/>
      <c r="Q10" s="1"/>
      <c r="R10" s="1"/>
      <c r="S10" s="1"/>
      <c r="T10" s="1"/>
    </row>
    <row r="11">
      <c r="A11" s="1"/>
      <c r="B11" s="7"/>
      <c r="C11" s="16"/>
      <c r="D11" s="16"/>
      <c r="E11" s="14" t="s">
        <v>18</v>
      </c>
      <c r="F11" s="20">
        <v>44571.0</v>
      </c>
      <c r="G11" s="16"/>
      <c r="H11" s="12"/>
      <c r="I11" s="1"/>
      <c r="J11" s="1"/>
      <c r="K11" s="1"/>
      <c r="L11" s="2"/>
      <c r="M11" s="1"/>
      <c r="N11" s="1"/>
      <c r="O11" s="1">
        <f>0</f>
        <v>0</v>
      </c>
      <c r="P11" s="1"/>
      <c r="Q11" s="1"/>
      <c r="R11" s="1"/>
      <c r="S11" s="1"/>
      <c r="T11" s="1"/>
    </row>
    <row r="12">
      <c r="A12" s="1"/>
      <c r="B12" s="7"/>
      <c r="C12" s="16"/>
      <c r="D12" s="16"/>
      <c r="E12" s="27" t="str">
        <f> "which is " &amp; datedif(F10,F11,"d") &amp; " days"</f>
        <v>which is 16 days</v>
      </c>
      <c r="G12" s="16"/>
      <c r="H12" s="12"/>
      <c r="I12" s="1"/>
      <c r="J12" s="1"/>
      <c r="K12" s="1"/>
      <c r="L12" s="2"/>
      <c r="M12" s="1"/>
      <c r="N12" s="25" t="s">
        <v>19</v>
      </c>
      <c r="O12" s="1"/>
      <c r="P12" s="1"/>
      <c r="Q12" s="1"/>
      <c r="R12" s="1"/>
      <c r="S12" s="1"/>
      <c r="T12" s="1"/>
    </row>
    <row r="13">
      <c r="A13" s="1"/>
      <c r="B13" s="7"/>
      <c r="C13" s="16"/>
      <c r="D13" s="16"/>
      <c r="E13" s="16"/>
      <c r="F13" s="16"/>
      <c r="G13" s="16"/>
      <c r="H13" s="12"/>
      <c r="I13" s="1"/>
      <c r="J13" s="1"/>
      <c r="K13" s="1"/>
      <c r="L13" s="2"/>
      <c r="M13" s="1"/>
      <c r="N13" s="1"/>
      <c r="O13" s="6" t="s">
        <v>20</v>
      </c>
      <c r="P13" s="1" t="str">
        <f>F9 * (M8-M9)/ifs(F8="weekly",7,F8="forthnightly",14,F8="monthly",datedif(F7,date(year(F7),month(F7)+1,day(F7)),"d"))</f>
        <v>#NUM!</v>
      </c>
      <c r="Q13" s="25" t="s">
        <v>7</v>
      </c>
      <c r="R13" s="18" t="str">
        <f>F9-P13</f>
        <v>#NUM!</v>
      </c>
      <c r="S13" s="1"/>
      <c r="T13" s="1"/>
    </row>
    <row r="14">
      <c r="A14" s="1"/>
      <c r="B14" s="7"/>
      <c r="C14" s="28"/>
      <c r="D14" s="11"/>
      <c r="E14" s="28"/>
      <c r="F14" s="28"/>
      <c r="G14" s="11"/>
      <c r="H14" s="12"/>
      <c r="I14" s="1"/>
      <c r="J14" s="1"/>
      <c r="K14" s="1"/>
      <c r="L14" s="2"/>
      <c r="M14" s="1"/>
      <c r="N14" s="25" t="s">
        <v>21</v>
      </c>
      <c r="O14" s="1"/>
      <c r="P14" s="1"/>
      <c r="Q14" s="1"/>
      <c r="R14" s="1"/>
      <c r="S14" s="1"/>
      <c r="T14" s="1"/>
    </row>
    <row r="15">
      <c r="A15" s="1"/>
      <c r="B15" s="7"/>
      <c r="C15" s="29" t="str">
        <f>ifs(K7=0,"Adjust the next scheduled payment to " &amp; dollar(R7),M8=M9,"No changes required, only DELETE payments scheduled during suspension period.", M8 &gt; M9,"DELETE payments scheduled during suspension period and"&amp;char(10)&amp;"CHANGE the next scheduled payment to " &amp; dollar(R13), M8 &lt; M9,"DELETE payments scheduled during suspension period and"&amp;char(10)&amp;"ADD catch-up payment " &amp; dollar(R15))</f>
        <v>#NUM!</v>
      </c>
      <c r="D15" s="30"/>
      <c r="E15" s="30"/>
      <c r="F15" s="30"/>
      <c r="G15" s="30"/>
      <c r="H15" s="31"/>
      <c r="I15" s="1"/>
      <c r="J15" s="1"/>
      <c r="K15" s="1"/>
      <c r="L15" s="2"/>
      <c r="M15" s="1"/>
      <c r="N15" s="1"/>
      <c r="O15" s="6" t="s">
        <v>22</v>
      </c>
      <c r="P15" s="1"/>
      <c r="Q15" s="1"/>
      <c r="R15" s="22" t="str">
        <f>F9 * (M9-M8)/ifs(F8="weekly",7,F8="forthnightly",14,F8="monthly",datedif(F7,date(year(F7),month(F7)+1,day(F7)),"d"))</f>
        <v>#NUM!</v>
      </c>
      <c r="S15" s="1"/>
      <c r="T15" s="1"/>
    </row>
    <row r="16">
      <c r="A16" s="1"/>
      <c r="B16" s="7"/>
      <c r="H16" s="3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7"/>
      <c r="H17" s="31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7"/>
      <c r="H18" s="31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7"/>
      <c r="C19" s="32"/>
      <c r="D19" s="32"/>
      <c r="E19" s="32"/>
      <c r="F19" s="32"/>
      <c r="G19" s="32"/>
      <c r="H19" s="31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33"/>
      <c r="C20" s="34"/>
      <c r="D20" s="34"/>
      <c r="E20" s="34"/>
      <c r="F20" s="34"/>
      <c r="G20" s="34"/>
      <c r="H20" s="35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</row>
  </sheetData>
  <mergeCells count="6">
    <mergeCell ref="C3:G3"/>
    <mergeCell ref="D7:E7"/>
    <mergeCell ref="D8:E8"/>
    <mergeCell ref="D9:E9"/>
    <mergeCell ref="E12:F12"/>
    <mergeCell ref="C15:G19"/>
  </mergeCells>
  <dataValidations>
    <dataValidation type="list" allowBlank="1" sqref="F8">
      <formula1>"weekly,forthnightly,monthly"</formula1>
    </dataValidation>
    <dataValidation type="custom" allowBlank="1" showDropDown="1" showInputMessage="1" showErrorMessage="1" prompt="Enter a valid date in the format dd/mm/yyyy" sqref="F7 F10:F11">
      <formula1>OR(NOT(ISERROR(DATEVALUE(F7))), AND(ISNUMBER(F7), LEFT(CELL("format", F7))="D"))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.5"/>
    <col customWidth="1" min="3" max="3" width="3.75"/>
    <col customWidth="1" min="4" max="4" width="11.38"/>
    <col customWidth="1" min="5" max="5" width="7.13"/>
    <col customWidth="1" min="6" max="6" width="16.13"/>
    <col customWidth="1" min="7" max="7" width="5.13"/>
    <col customWidth="1" min="8" max="8" width="3.5"/>
    <col customWidth="1" min="9" max="9" width="5.25"/>
    <col customWidth="1" hidden="1" min="10" max="10" width="38.88"/>
    <col customWidth="1" hidden="1" min="11" max="11" width="6.13"/>
    <col customWidth="1" hidden="1" min="12" max="12" width="24.88"/>
    <col customWidth="1" hidden="1" min="13" max="13" width="5.63"/>
    <col customWidth="1" hidden="1" min="14" max="14" width="8.38"/>
    <col customWidth="1" hidden="1" min="15" max="15" width="8.25"/>
    <col customWidth="1" hidden="1" min="16" max="16" width="8.63"/>
    <col customWidth="1" hidden="1" min="17" max="17" width="31.88"/>
    <col customWidth="1" hidden="1" min="18" max="18" width="11.25"/>
    <col hidden="1" min="19" max="20" width="12.6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3"/>
      <c r="C2" s="4"/>
      <c r="D2" s="4"/>
      <c r="E2" s="4"/>
      <c r="F2" s="4"/>
      <c r="G2" s="4"/>
      <c r="H2" s="5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7"/>
      <c r="C3" s="8" t="s">
        <v>0</v>
      </c>
      <c r="H3" s="9"/>
      <c r="I3" s="10"/>
      <c r="J3" s="10" t="s">
        <v>1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7"/>
      <c r="C4" s="11"/>
      <c r="D4" s="11"/>
      <c r="E4" s="11"/>
      <c r="F4" s="11"/>
      <c r="G4" s="11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7"/>
      <c r="C5" s="13"/>
      <c r="D5" s="13"/>
      <c r="E5" s="14"/>
      <c r="F5" s="15"/>
      <c r="G5" s="16"/>
      <c r="H5" s="12"/>
      <c r="I5" s="6"/>
      <c r="J5" s="6"/>
      <c r="K5" s="1"/>
      <c r="L5" s="6"/>
      <c r="M5" s="1"/>
      <c r="N5" s="6"/>
      <c r="O5" s="1"/>
      <c r="P5" s="17"/>
      <c r="Q5" s="1"/>
      <c r="R5" s="18"/>
      <c r="S5" s="1"/>
      <c r="T5" s="1"/>
    </row>
    <row r="6">
      <c r="A6" s="1"/>
      <c r="B6" s="7"/>
      <c r="C6" s="13"/>
      <c r="D6" s="13"/>
      <c r="E6" s="14"/>
      <c r="F6" s="36" t="s">
        <v>2</v>
      </c>
      <c r="G6" s="16"/>
      <c r="H6" s="12"/>
      <c r="I6" s="6"/>
      <c r="J6" s="6" t="s">
        <v>23</v>
      </c>
      <c r="K6" s="1">
        <f> int(ifs(F8="weekly",DATEDIF(F7,F10,"d")/7,F8="forthnightly",datedif(F7,F10,"d")/14,F8="monthly",datedif(F7,F10,"m")))</f>
        <v>0</v>
      </c>
      <c r="L6" s="6"/>
      <c r="M6" s="1"/>
      <c r="N6" s="6"/>
      <c r="O6" s="1"/>
      <c r="P6" s="17"/>
      <c r="Q6" s="1"/>
      <c r="R6" s="18"/>
      <c r="S6" s="1"/>
      <c r="T6" s="1"/>
    </row>
    <row r="7">
      <c r="A7" s="1"/>
      <c r="B7" s="7"/>
      <c r="C7" s="14"/>
      <c r="D7" s="14" t="s">
        <v>3</v>
      </c>
      <c r="F7" s="20">
        <v>46066.0</v>
      </c>
      <c r="G7" s="16"/>
      <c r="H7" s="12"/>
      <c r="I7" s="6"/>
      <c r="J7" s="6" t="s">
        <v>4</v>
      </c>
      <c r="K7" s="1">
        <f>int(ifs(F8="weekly",DATEDIF(F7,F11,"d")/7,F8="forthnightly",datedif(F7,F11,"d")/14,F8="monthly",datedif(F7,F11,"m"))) - int(ifs(F8="weekly",DATEDIF(F7,F10,"d")/7,F8="forthnightly",datedif(F7,F10,"d")/14,F8="monthly",datedif(F7,F10,"m")))</f>
        <v>0</v>
      </c>
      <c r="L7" s="21" t="s">
        <v>5</v>
      </c>
      <c r="M7" s="1">
        <f>datedif(F10,F11,"d")</f>
        <v>11</v>
      </c>
      <c r="N7" s="6" t="s">
        <v>6</v>
      </c>
      <c r="O7" s="22">
        <f>F9 * M7/ifs(F8="weekly",7,F8="forthnightly",14,F8="monthly",datedif(F7,date(year(F7),month(F7)+1,day(F7)),"d"))</f>
        <v>42.47571429</v>
      </c>
      <c r="P7" s="17" t="s">
        <v>7</v>
      </c>
      <c r="Q7" s="1"/>
      <c r="R7" s="23">
        <f>F9-O7</f>
        <v>65.64428571</v>
      </c>
      <c r="S7" s="1"/>
      <c r="T7" s="1"/>
    </row>
    <row r="8">
      <c r="A8" s="1"/>
      <c r="B8" s="7"/>
      <c r="C8" s="14"/>
      <c r="D8" s="14" t="s">
        <v>8</v>
      </c>
      <c r="F8" s="24" t="s">
        <v>24</v>
      </c>
      <c r="G8" s="16"/>
      <c r="H8" s="12"/>
      <c r="I8" s="1"/>
      <c r="J8" s="1"/>
      <c r="K8" s="1"/>
      <c r="L8" s="21" t="s">
        <v>10</v>
      </c>
      <c r="M8" s="1">
        <f>datedif(F10,ifs(F8="weekly",F7+7*(K6+1),F8="forthnightly",F7+14*(K6+1),F8="monthly",date(year(F7),month(F7)+1*(K6+1),day(F7))),"d")</f>
        <v>14</v>
      </c>
      <c r="N8" s="25" t="s">
        <v>11</v>
      </c>
      <c r="O8" s="1"/>
      <c r="P8" s="1"/>
      <c r="Q8" s="1"/>
      <c r="R8" s="1"/>
      <c r="S8" s="1"/>
      <c r="T8" s="1"/>
    </row>
    <row r="9">
      <c r="A9" s="1"/>
      <c r="B9" s="7"/>
      <c r="C9" s="14"/>
      <c r="D9" s="14" t="s">
        <v>12</v>
      </c>
      <c r="F9" s="26">
        <v>108.12</v>
      </c>
      <c r="G9" s="16"/>
      <c r="H9" s="12"/>
      <c r="I9" s="1"/>
      <c r="J9" s="1"/>
      <c r="K9" s="1"/>
      <c r="L9" s="6" t="s">
        <v>13</v>
      </c>
      <c r="M9" s="1">
        <f>datedif(F11,ifs(F8="weekly",F7+(K6+K7+1)*7,F8="forthnightly",F7+(K6+K7+1)*14,F8="monthly",date(year(F7),month(F7)+1*(K6+K7+1),day(F7))),"d")</f>
        <v>3</v>
      </c>
      <c r="N9" s="25" t="s">
        <v>14</v>
      </c>
      <c r="O9" s="1"/>
      <c r="P9" s="1"/>
      <c r="Q9" s="1"/>
      <c r="R9" s="1"/>
      <c r="S9" s="1"/>
      <c r="T9" s="1"/>
    </row>
    <row r="10">
      <c r="A10" s="1"/>
      <c r="B10" s="7"/>
      <c r="C10" s="14"/>
      <c r="D10" s="14" t="s">
        <v>15</v>
      </c>
      <c r="E10" s="14" t="s">
        <v>16</v>
      </c>
      <c r="F10" s="20">
        <v>46080.0</v>
      </c>
      <c r="G10" s="16"/>
      <c r="H10" s="12"/>
      <c r="I10" s="1"/>
      <c r="J10" s="1"/>
      <c r="K10" s="1"/>
      <c r="L10" s="2"/>
      <c r="M10" s="1"/>
      <c r="N10" s="25" t="s">
        <v>25</v>
      </c>
      <c r="O10" s="1"/>
      <c r="P10" s="1"/>
      <c r="Q10" s="1"/>
      <c r="R10" s="1"/>
      <c r="S10" s="1"/>
      <c r="T10" s="1"/>
    </row>
    <row r="11">
      <c r="A11" s="1"/>
      <c r="B11" s="7"/>
      <c r="C11" s="16"/>
      <c r="D11" s="16"/>
      <c r="E11" s="14" t="s">
        <v>18</v>
      </c>
      <c r="F11" s="20">
        <v>46091.0</v>
      </c>
      <c r="G11" s="16"/>
      <c r="H11" s="12"/>
      <c r="I11" s="1"/>
      <c r="J11" s="1"/>
      <c r="K11" s="1"/>
      <c r="L11" s="2"/>
      <c r="M11" s="1"/>
      <c r="N11" s="1"/>
      <c r="O11" s="1">
        <f>0</f>
        <v>0</v>
      </c>
      <c r="P11" s="1"/>
      <c r="Q11" s="1"/>
      <c r="R11" s="1"/>
      <c r="S11" s="1"/>
      <c r="T11" s="1"/>
    </row>
    <row r="12">
      <c r="A12" s="1"/>
      <c r="B12" s="7"/>
      <c r="C12" s="16"/>
      <c r="D12" s="16"/>
      <c r="E12" s="27" t="str">
        <f> "which is " &amp; datedif(F10,F11,"d") &amp; " days"</f>
        <v>which is 11 days</v>
      </c>
      <c r="G12" s="16"/>
      <c r="H12" s="12"/>
      <c r="I12" s="1"/>
      <c r="J12" s="1"/>
      <c r="K12" s="1"/>
      <c r="L12" s="2"/>
      <c r="M12" s="1"/>
      <c r="N12" s="25" t="s">
        <v>26</v>
      </c>
      <c r="O12" s="1"/>
      <c r="P12" s="1"/>
      <c r="Q12" s="1"/>
      <c r="R12" s="1"/>
      <c r="S12" s="1"/>
      <c r="T12" s="1"/>
    </row>
    <row r="13">
      <c r="A13" s="1"/>
      <c r="B13" s="7"/>
      <c r="C13" s="16"/>
      <c r="D13" s="16"/>
      <c r="E13" s="16"/>
      <c r="F13" s="16"/>
      <c r="G13" s="16"/>
      <c r="H13" s="12"/>
      <c r="I13" s="1"/>
      <c r="J13" s="1"/>
      <c r="K13" s="1"/>
      <c r="L13" s="2"/>
      <c r="M13" s="1"/>
      <c r="N13" s="1"/>
      <c r="O13" s="6" t="s">
        <v>20</v>
      </c>
      <c r="P13" s="22">
        <f>F9 * (M8-M9)/ifs(F8="weekly",7,F8="forthnightly",14,F8="monthly",datedif(F7,date(year(F7),month(F7)+1,day(F7)),"d"))</f>
        <v>42.47571429</v>
      </c>
      <c r="Q13" s="25" t="s">
        <v>7</v>
      </c>
      <c r="R13" s="23">
        <f>F9-P13</f>
        <v>65.64428571</v>
      </c>
      <c r="S13" s="1"/>
      <c r="T13" s="1"/>
    </row>
    <row r="14">
      <c r="A14" s="1"/>
      <c r="B14" s="7"/>
      <c r="C14" s="28"/>
      <c r="D14" s="11"/>
      <c r="E14" s="28"/>
      <c r="F14" s="28"/>
      <c r="G14" s="11"/>
      <c r="H14" s="12"/>
      <c r="I14" s="1"/>
      <c r="J14" s="1"/>
      <c r="K14" s="1"/>
      <c r="L14" s="2"/>
      <c r="M14" s="1"/>
      <c r="N14" s="25" t="s">
        <v>27</v>
      </c>
      <c r="O14" s="1"/>
      <c r="P14" s="1"/>
      <c r="Q14" s="1"/>
      <c r="R14" s="1"/>
      <c r="S14" s="1"/>
      <c r="T14" s="1"/>
    </row>
    <row r="15">
      <c r="A15" s="1"/>
      <c r="B15" s="7"/>
      <c r="C15" s="29" t="str">
        <f>ifs(K7=0,"Adjust the next scheduled payment to " &amp; dollar(R7),M8=M9,"No changes required, only DELETE payments scheduled during suspension period.", M8 &gt; M9,"DELETE payments scheduled during suspension period and"&amp;char(10)&amp;"CHANGE the next scheduled payment to " &amp; dollar(R13), M8 &lt; M9,"DELETE payments scheduled during suspension period and"&amp;char(10)&amp;"ADD catch-up payment " &amp; dollar(R15))</f>
        <v>Adjust the next scheduled payment to $65.64</v>
      </c>
      <c r="D15" s="30"/>
      <c r="E15" s="30"/>
      <c r="F15" s="30"/>
      <c r="G15" s="30"/>
      <c r="H15" s="31"/>
      <c r="I15" s="1"/>
      <c r="J15" s="1"/>
      <c r="K15" s="1"/>
      <c r="L15" s="2"/>
      <c r="M15" s="1"/>
      <c r="N15" s="1"/>
      <c r="O15" s="6" t="s">
        <v>22</v>
      </c>
      <c r="P15" s="1"/>
      <c r="Q15" s="1"/>
      <c r="R15" s="22">
        <f>F9 * (M9-M8)/ifs(F8="weekly",7,F8="forthnightly",14,F8="monthly",datedif(F7,date(year(F7),month(F7)+1,day(F7)),"d"))</f>
        <v>-42.47571429</v>
      </c>
      <c r="S15" s="1"/>
      <c r="T15" s="1"/>
    </row>
    <row r="16">
      <c r="A16" s="1"/>
      <c r="B16" s="7"/>
      <c r="H16" s="3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7"/>
      <c r="H17" s="31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7"/>
      <c r="H18" s="31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7"/>
      <c r="C19" s="32"/>
      <c r="D19" s="32"/>
      <c r="E19" s="32"/>
      <c r="F19" s="32"/>
      <c r="G19" s="32"/>
      <c r="H19" s="31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33"/>
      <c r="C20" s="34"/>
      <c r="D20" s="34"/>
      <c r="E20" s="34"/>
      <c r="F20" s="34"/>
      <c r="G20" s="34"/>
      <c r="H20" s="35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</row>
  </sheetData>
  <mergeCells count="6">
    <mergeCell ref="C3:G3"/>
    <mergeCell ref="D7:E7"/>
    <mergeCell ref="D8:E8"/>
    <mergeCell ref="D9:E9"/>
    <mergeCell ref="E12:F12"/>
    <mergeCell ref="C15:G19"/>
  </mergeCells>
  <dataValidations>
    <dataValidation type="list" allowBlank="1" sqref="F8">
      <formula1>"weekly,forthnightly,monthly"</formula1>
    </dataValidation>
    <dataValidation type="custom" allowBlank="1" showDropDown="1" showInputMessage="1" showErrorMessage="1" prompt="Enter a valid date in the format dd/mm/yyyy" sqref="F7 F10:F11">
      <formula1>OR(NOT(ISERROR(DATEVALUE(F7))), AND(ISNUMBER(F7), LEFT(CELL("format", F7))="D"))</formula1>
    </dataValidation>
  </dataValidations>
  <drawing r:id="rId1"/>
</worksheet>
</file>